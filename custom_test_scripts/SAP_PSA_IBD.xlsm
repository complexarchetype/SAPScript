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if Ahmed Chowdhury\Downloads\MGH SAP\"/>
    </mc:Choice>
  </mc:AlternateContent>
  <xr:revisionPtr revIDLastSave="0" documentId="13_ncr:1_{30BE317E-34FB-449B-B762-7353FA956576}" xr6:coauthVersionLast="45" xr6:coauthVersionMax="45" xr10:uidLastSave="{00000000-0000-0000-0000-000000000000}"/>
  <bookViews>
    <workbookView xWindow="-120" yWindow="-120" windowWidth="29040" windowHeight="15840" xr2:uid="{007F3B09-AAFB-4EE2-B655-5269E44FB7DC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7" i="1" l="1"/>
  <c r="G26" i="1"/>
  <c r="G20" i="1"/>
  <c r="G21" i="1"/>
  <c r="G22" i="1"/>
  <c r="G23" i="1"/>
  <c r="G24" i="1"/>
  <c r="G25" i="1"/>
  <c r="G19" i="1"/>
  <c r="G18" i="1" l="1"/>
  <c r="G17" i="1"/>
  <c r="G16" i="1"/>
  <c r="G15" i="1"/>
  <c r="G14" i="1"/>
  <c r="G13" i="1"/>
  <c r="G12" i="1"/>
  <c r="G11" i="1"/>
</calcChain>
</file>

<file path=xl/sharedStrings.xml><?xml version="1.0" encoding="utf-8"?>
<sst xmlns="http://schemas.openxmlformats.org/spreadsheetml/2006/main" count="71" uniqueCount="53">
  <si>
    <t>Pending</t>
  </si>
  <si>
    <t>Processing…</t>
  </si>
  <si>
    <t>Completed</t>
  </si>
  <si>
    <t>Error</t>
  </si>
  <si>
    <t>NA</t>
  </si>
  <si>
    <t>MED200</t>
  </si>
  <si>
    <t>Status</t>
  </si>
  <si>
    <t>Status Control</t>
  </si>
  <si>
    <t>Vendor Code</t>
  </si>
  <si>
    <t>Material</t>
  </si>
  <si>
    <t>Quantity</t>
  </si>
  <si>
    <t>Storage Location</t>
  </si>
  <si>
    <t>Company</t>
  </si>
  <si>
    <t>KDIM</t>
  </si>
  <si>
    <t>Message (PO No.)</t>
  </si>
  <si>
    <t>0 180000325</t>
  </si>
  <si>
    <t>0y 18000032</t>
  </si>
  <si>
    <t>0 180000327</t>
  </si>
  <si>
    <t>0180000328</t>
  </si>
  <si>
    <t>PO</t>
  </si>
  <si>
    <t>PGR</t>
  </si>
  <si>
    <t>0180000329</t>
  </si>
  <si>
    <t>0180000330</t>
  </si>
  <si>
    <t>0180000331</t>
  </si>
  <si>
    <t>Delivery No.</t>
  </si>
  <si>
    <t>DEL</t>
  </si>
  <si>
    <t>0180000332</t>
  </si>
  <si>
    <t>0180000333</t>
  </si>
  <si>
    <t>Process Stage</t>
  </si>
  <si>
    <t>0180000334</t>
  </si>
  <si>
    <t xml:space="preserve">SAP PSA Inbound GUI Scripting </t>
  </si>
  <si>
    <t>***KDIM - ASIM</t>
  </si>
  <si>
    <t>***MAT 89,88,100 - UA 162,60,2160</t>
  </si>
  <si>
    <t>0180000335</t>
  </si>
  <si>
    <t>1/1</t>
  </si>
  <si>
    <t>0180000336</t>
  </si>
  <si>
    <t>0180000337</t>
  </si>
  <si>
    <t>0180000338</t>
  </si>
  <si>
    <t>***1170000001-4</t>
  </si>
  <si>
    <t>Tcode:ME21N,VL31N,LT01,VL02N,LT10</t>
  </si>
  <si>
    <t xml:space="preserve"> PO No.</t>
  </si>
  <si>
    <t>ASIM</t>
  </si>
  <si>
    <t>0180000355</t>
  </si>
  <si>
    <t>0180000356</t>
  </si>
  <si>
    <t>0180000357</t>
  </si>
  <si>
    <t>0180000358</t>
  </si>
  <si>
    <t>0180000359</t>
  </si>
  <si>
    <t>0180000360</t>
  </si>
  <si>
    <t>0180000361</t>
  </si>
  <si>
    <t>0180000362</t>
  </si>
  <si>
    <t>***Process Stage: DEL,PGR,PO,(Blank)</t>
  </si>
  <si>
    <t>F3601</t>
  </si>
  <si>
    <t>0180000367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</si>
</sst>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2"/>
      <name val="Arial"/>
      <family val="2"/>
    </font>
    <font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6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3" fillId="0" borderId="0" xfId="0" applyFont="1"/>
    <xf numFmtId="0" fontId="2" fillId="0" borderId="0" xfId="0" applyFont="1"/>
    <xf numFmtId="0" fontId="0" fillId="0" borderId="0" xfId="0" applyAlignment="1">
      <alignment horizontal="left"/>
    </xf>
    <xf numFmtId="49" fontId="2" fillId="0" borderId="0" xfId="0" applyNumberFormat="1" applyFont="1"/>
    <xf numFmtId="49" fontId="0" fillId="0" borderId="0" xfId="0" applyNumberFormat="1"/>
    <xf numFmtId="0" fontId="2" fillId="4" borderId="0" xfId="0" applyFont="1" applyFill="1" applyAlignment="1">
      <alignment horizontal="left"/>
    </xf>
    <xf numFmtId="0" fontId="2" fillId="4" borderId="0" xfId="0" applyFont="1" applyFill="1"/>
    <xf numFmtId="49" fontId="2" fillId="4" borderId="0" xfId="0" applyNumberFormat="1" applyFont="1" applyFill="1"/>
    <xf numFmtId="0" fontId="3" fillId="4" borderId="0" xfId="0" applyFont="1" applyFill="1"/>
    <xf numFmtId="0" fontId="2" fillId="4" borderId="0" xfId="0" applyFont="1" applyFill="1" applyAlignment="1">
      <alignment horizontal="left" indent="1"/>
    </xf>
    <xf numFmtId="0" fontId="2" fillId="4" borderId="0" xfId="0" applyFont="1" applyFill="1" applyAlignment="1">
      <alignment horizontal="center"/>
    </xf>
    <xf numFmtId="0" fontId="4" fillId="4" borderId="1" xfId="0" applyFont="1" applyFill="1" applyBorder="1"/>
    <xf numFmtId="49" fontId="4" fillId="4" borderId="2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2" fillId="0" borderId="1" xfId="0" applyFont="1" applyBorder="1"/>
    <xf numFmtId="0" fontId="4" fillId="4" borderId="1" xfId="0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/>
    </xf>
    <xf numFmtId="0" fontId="5" fillId="4" borderId="0" xfId="0" applyFont="1" applyFill="1" applyBorder="1" applyAlignment="1"/>
    <xf numFmtId="0" fontId="2" fillId="0" borderId="0" xfId="0" applyFont="1" applyAlignment="1">
      <alignment horizontal="center"/>
    </xf>
    <xf numFmtId="0" fontId="2" fillId="0" borderId="0" xfId="0" applyFont="1" applyAlignment="1"/>
    <xf numFmtId="0" fontId="2" fillId="0" borderId="0" xfId="0" applyFont="1" applyBorder="1"/>
    <xf numFmtId="0" fontId="3" fillId="0" borderId="0" xfId="0" applyFont="1" applyBorder="1"/>
    <xf numFmtId="0" fontId="2" fillId="3" borderId="1" xfId="0" applyFont="1" applyFill="1" applyBorder="1"/>
    <xf numFmtId="0" fontId="2" fillId="0" borderId="1" xfId="0" applyFont="1" applyBorder="1" applyAlignment="1">
      <alignment horizontal="right"/>
    </xf>
    <xf numFmtId="0" fontId="2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0" xfId="0" applyFont="1" applyFill="1" applyAlignment="1"/>
    <xf numFmtId="0" fontId="2" fillId="4" borderId="4" xfId="0" applyFont="1" applyFill="1" applyBorder="1" applyAlignment="1"/>
    <xf numFmtId="0" fontId="4" fillId="2" borderId="1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285750</xdr:colOff>
          <xdr:row>7</xdr:row>
          <xdr:rowOff>28575</xdr:rowOff>
        </xdr:from>
        <xdr:to>
          <xdr:col>1</xdr:col>
          <xdr:colOff>2981325</xdr:colOff>
          <xdr:row>8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0A787-DD2E-4403-96C7-BA3A32DAA5DD}">
  <sheetPr codeName="Sheet1"/>
  <dimension ref="A1:V36"/>
  <sheetViews>
    <sheetView tabSelected="1" workbookViewId="0">
      <selection activeCell="B22" sqref="B22"/>
    </sheetView>
  </sheetViews>
  <sheetFormatPr defaultRowHeight="15" x14ac:dyDescent="0.25"/>
  <cols>
    <col min="1" max="1" width="24" customWidth="1"/>
    <col min="2" max="5" width="25.42578125" style="3" customWidth="1"/>
    <col min="6" max="6" width="17.140625" bestFit="1" customWidth="1"/>
    <col min="7" max="7" width="18.85546875" customWidth="1"/>
    <col min="8" max="8" width="63.28515625" bestFit="1" customWidth="1"/>
    <col min="9" max="9" width="47.28515625" style="3" bestFit="1" customWidth="1"/>
    <col min="10" max="10" width="20.85546875" style="5" hidden="1" customWidth="1"/>
    <col min="11" max="11" width="25.5703125" style="26" customWidth="1"/>
    <col min="20" max="21" width="8" customWidth="1"/>
    <col min="22" max="22" width="9.28515625" customWidth="1"/>
  </cols>
  <sheetData>
    <row r="1" spans="1:22" s="9" customFormat="1" ht="16.5" customHeight="1" x14ac:dyDescent="0.3">
      <c r="A1" s="32" t="s">
        <v>30</v>
      </c>
      <c r="B1" s="32"/>
      <c r="C1" s="32"/>
      <c r="D1" s="32"/>
      <c r="E1" s="32"/>
      <c r="F1" s="32"/>
      <c r="G1" s="32"/>
      <c r="H1" s="18"/>
      <c r="I1" s="18"/>
      <c r="J1" s="18"/>
      <c r="K1" s="17"/>
      <c r="L1" s="18"/>
      <c r="M1" s="18"/>
      <c r="N1" s="18"/>
      <c r="O1" s="18"/>
      <c r="P1" s="18"/>
      <c r="Q1" s="18"/>
      <c r="R1" s="18"/>
    </row>
    <row r="2" spans="1:22" s="9" customFormat="1" ht="21" customHeight="1" x14ac:dyDescent="0.3">
      <c r="A2" s="32"/>
      <c r="B2" s="32"/>
      <c r="C2" s="32"/>
      <c r="D2" s="32"/>
      <c r="E2" s="32"/>
      <c r="F2" s="32"/>
      <c r="G2" s="32"/>
      <c r="H2" s="18"/>
      <c r="I2" s="18"/>
      <c r="J2" s="18"/>
      <c r="K2" s="17"/>
      <c r="L2" s="18"/>
      <c r="M2" s="18"/>
      <c r="N2" s="18"/>
      <c r="O2" s="18"/>
      <c r="P2" s="18"/>
      <c r="Q2" s="18"/>
      <c r="R2" s="18"/>
      <c r="U2" s="9">
        <v>0</v>
      </c>
      <c r="V2" s="9" t="s">
        <v>0</v>
      </c>
    </row>
    <row r="3" spans="1:22" s="9" customFormat="1" ht="34.5" hidden="1" customHeight="1" x14ac:dyDescent="0.3">
      <c r="A3" s="18"/>
      <c r="B3" s="18"/>
      <c r="C3" s="18"/>
      <c r="D3" s="18"/>
      <c r="E3" s="18"/>
      <c r="F3" s="18"/>
      <c r="G3" s="18"/>
      <c r="H3" s="18"/>
      <c r="I3" s="18"/>
      <c r="J3" s="18"/>
      <c r="K3" s="17"/>
      <c r="L3" s="18"/>
      <c r="M3" s="18"/>
      <c r="N3" s="18"/>
      <c r="O3" s="18"/>
      <c r="P3" s="18"/>
      <c r="Q3" s="18"/>
      <c r="R3" s="18"/>
      <c r="U3" s="9">
        <v>1</v>
      </c>
      <c r="V3" s="9" t="s">
        <v>1</v>
      </c>
    </row>
    <row r="4" spans="1:22" s="9" customFormat="1" ht="34.5" hidden="1" customHeight="1" x14ac:dyDescent="0.3">
      <c r="A4" s="18"/>
      <c r="B4" s="18"/>
      <c r="C4" s="18"/>
      <c r="D4" s="18"/>
      <c r="E4" s="18"/>
      <c r="F4" s="18"/>
      <c r="G4" s="18"/>
      <c r="H4" s="18"/>
      <c r="I4" s="18"/>
      <c r="J4" s="18"/>
      <c r="K4" s="17"/>
      <c r="L4" s="18"/>
      <c r="M4" s="18"/>
      <c r="N4" s="18"/>
      <c r="O4" s="18"/>
      <c r="P4" s="18"/>
      <c r="Q4" s="18"/>
      <c r="R4" s="18"/>
      <c r="U4" s="9">
        <v>2</v>
      </c>
      <c r="V4" s="9" t="s">
        <v>2</v>
      </c>
    </row>
    <row r="5" spans="1:22" s="9" customFormat="1" ht="34.5" hidden="1" customHeight="1" x14ac:dyDescent="0.25">
      <c r="A5" s="7"/>
      <c r="B5" s="6"/>
      <c r="C5" s="6"/>
      <c r="D5" s="6"/>
      <c r="E5" s="6"/>
      <c r="F5" s="10"/>
      <c r="G5" s="7"/>
      <c r="H5" s="7"/>
      <c r="I5" s="6"/>
      <c r="J5" s="8"/>
      <c r="K5" s="11"/>
      <c r="L5" s="7"/>
      <c r="M5" s="7"/>
      <c r="N5" s="7"/>
      <c r="O5" s="7"/>
      <c r="P5" s="7"/>
      <c r="Q5" s="7"/>
      <c r="R5" s="7"/>
      <c r="U5" s="9">
        <v>3</v>
      </c>
      <c r="V5" s="9" t="s">
        <v>3</v>
      </c>
    </row>
    <row r="6" spans="1:22" s="9" customFormat="1" ht="34.5" hidden="1" customHeight="1" x14ac:dyDescent="0.25">
      <c r="A6" s="7"/>
      <c r="B6" s="6"/>
      <c r="C6" s="6"/>
      <c r="D6" s="6"/>
      <c r="E6" s="6"/>
      <c r="F6" s="10"/>
      <c r="G6" s="7"/>
      <c r="H6" s="10"/>
      <c r="I6" s="6"/>
      <c r="J6" s="8"/>
      <c r="K6" s="11"/>
      <c r="L6" s="7"/>
      <c r="M6" s="7"/>
      <c r="N6" s="7"/>
      <c r="O6" s="7"/>
      <c r="P6" s="7"/>
      <c r="Q6" s="7"/>
      <c r="R6" s="7"/>
      <c r="U6" s="9">
        <v>4</v>
      </c>
      <c r="V6" s="9" t="s">
        <v>4</v>
      </c>
    </row>
    <row r="7" spans="1:22" s="9" customFormat="1" ht="18" hidden="1" customHeight="1" x14ac:dyDescent="0.25">
      <c r="A7" s="7"/>
      <c r="B7" s="6"/>
      <c r="C7" s="6"/>
      <c r="D7" s="6"/>
      <c r="E7" s="6"/>
      <c r="F7" s="10"/>
      <c r="G7" s="7"/>
      <c r="H7" s="10"/>
      <c r="I7" s="6"/>
      <c r="J7" s="8"/>
      <c r="K7" s="11"/>
      <c r="L7" s="7"/>
      <c r="M7" s="7"/>
      <c r="N7" s="7"/>
      <c r="O7" s="7"/>
      <c r="P7" s="7"/>
      <c r="Q7" s="7"/>
      <c r="R7" s="7"/>
      <c r="U7" s="9">
        <v>5</v>
      </c>
      <c r="V7" s="9" t="s">
        <v>4</v>
      </c>
    </row>
    <row r="8" spans="1:22" s="9" customFormat="1" ht="15.75" x14ac:dyDescent="0.25">
      <c r="A8" s="16" t="s">
        <v>5</v>
      </c>
      <c r="B8" s="10"/>
      <c r="C8" s="33" t="s">
        <v>50</v>
      </c>
      <c r="D8" s="33"/>
      <c r="E8" s="28" t="s">
        <v>32</v>
      </c>
      <c r="F8" s="28"/>
      <c r="G8" s="29"/>
      <c r="H8" s="12" t="s">
        <v>39</v>
      </c>
      <c r="I8" s="6"/>
      <c r="J8" s="8"/>
      <c r="K8" s="11"/>
      <c r="L8" s="7"/>
      <c r="M8" s="7"/>
      <c r="N8" s="7"/>
      <c r="O8" s="7"/>
      <c r="P8" s="7"/>
      <c r="Q8" s="7"/>
      <c r="R8" s="7"/>
      <c r="U8" s="9">
        <v>6</v>
      </c>
      <c r="V8" s="7" t="s">
        <v>4</v>
      </c>
    </row>
    <row r="9" spans="1:22" s="9" customFormat="1" ht="22.5" customHeight="1" x14ac:dyDescent="0.25">
      <c r="A9" s="13" t="s">
        <v>34</v>
      </c>
      <c r="B9" s="6"/>
      <c r="C9" s="27" t="s">
        <v>38</v>
      </c>
      <c r="D9" s="6" t="s">
        <v>31</v>
      </c>
      <c r="E9" s="6"/>
      <c r="F9" s="7"/>
      <c r="G9" s="7"/>
      <c r="H9" s="7"/>
      <c r="I9" s="6"/>
      <c r="J9" s="8"/>
      <c r="K9" s="11"/>
      <c r="L9" s="7"/>
      <c r="M9" s="7"/>
      <c r="N9" s="7"/>
      <c r="O9" s="7"/>
      <c r="P9" s="7"/>
      <c r="Q9" s="7"/>
      <c r="R9" s="7"/>
    </row>
    <row r="10" spans="1:22" s="22" customFormat="1" ht="15.75" x14ac:dyDescent="0.25">
      <c r="A10" s="30" t="s">
        <v>8</v>
      </c>
      <c r="B10" s="30" t="s">
        <v>9</v>
      </c>
      <c r="C10" s="30" t="s">
        <v>10</v>
      </c>
      <c r="D10" s="30" t="s">
        <v>11</v>
      </c>
      <c r="E10" s="30" t="s">
        <v>12</v>
      </c>
      <c r="F10" s="30" t="s">
        <v>7</v>
      </c>
      <c r="G10" s="30" t="s">
        <v>6</v>
      </c>
      <c r="H10" s="30" t="s">
        <v>40</v>
      </c>
      <c r="I10" s="30" t="s">
        <v>24</v>
      </c>
      <c r="J10" s="31" t="s">
        <v>14</v>
      </c>
      <c r="K10" s="16" t="s">
        <v>28</v>
      </c>
      <c r="L10" s="21"/>
      <c r="M10" s="21"/>
      <c r="N10" s="21"/>
      <c r="O10" s="21"/>
      <c r="P10" s="21"/>
      <c r="Q10" s="21"/>
      <c r="R10" s="21"/>
    </row>
    <row r="11" spans="1:22" s="1" customFormat="1" ht="15.75" x14ac:dyDescent="0.25">
      <c r="A11" s="14">
        <v>1170000001</v>
      </c>
      <c r="B11" s="14">
        <v>600089</v>
      </c>
      <c r="C11" s="14">
        <v>1620</v>
      </c>
      <c r="D11" s="14" t="s">
        <v>13</v>
      </c>
      <c r="E11" s="14">
        <v>1970</v>
      </c>
      <c r="F11" s="23">
        <v>2</v>
      </c>
      <c r="G11" s="23" t="str">
        <f>VLOOKUP(F11,$U$2:$V$8,2,0)</f>
        <v>Completed</v>
      </c>
      <c r="H11" s="24">
        <v>4301000184</v>
      </c>
      <c r="I11" s="14"/>
      <c r="J11" s="4"/>
      <c r="K11" s="25" t="s">
        <v>19</v>
      </c>
      <c r="L11" s="2"/>
      <c r="M11" s="2"/>
      <c r="N11" s="2"/>
      <c r="O11" s="2"/>
      <c r="P11" s="2"/>
      <c r="Q11" s="2"/>
      <c r="R11" s="2"/>
    </row>
    <row r="12" spans="1:22" s="1" customFormat="1" ht="15.75" x14ac:dyDescent="0.25">
      <c r="A12" s="14">
        <v>1170000001</v>
      </c>
      <c r="B12" s="14">
        <v>600089</v>
      </c>
      <c r="C12" s="14">
        <v>1620</v>
      </c>
      <c r="D12" s="14" t="s">
        <v>13</v>
      </c>
      <c r="E12" s="14">
        <v>1970</v>
      </c>
      <c r="F12" s="23">
        <v>2</v>
      </c>
      <c r="G12" s="23" t="str">
        <f>VLOOKUP(F12,$U$2:$V$8,2,0)</f>
        <v>Completed</v>
      </c>
      <c r="H12" s="24">
        <v>4301000185</v>
      </c>
      <c r="I12" s="14">
        <v>180000332</v>
      </c>
      <c r="J12" s="4" t="s">
        <v>26</v>
      </c>
      <c r="K12" s="25" t="s">
        <v>25</v>
      </c>
      <c r="L12" s="2"/>
      <c r="M12" s="2"/>
      <c r="N12" s="2"/>
      <c r="O12" s="20"/>
      <c r="P12" s="20"/>
      <c r="Q12" s="20"/>
      <c r="R12" s="20"/>
    </row>
    <row r="13" spans="1:22" s="1" customFormat="1" ht="15.75" x14ac:dyDescent="0.25">
      <c r="A13" s="14">
        <v>1170000001</v>
      </c>
      <c r="B13" s="14">
        <v>600089</v>
      </c>
      <c r="C13" s="14">
        <v>1620</v>
      </c>
      <c r="D13" s="14" t="s">
        <v>13</v>
      </c>
      <c r="E13" s="14">
        <v>1970</v>
      </c>
      <c r="F13" s="23">
        <v>2</v>
      </c>
      <c r="G13" s="23" t="str">
        <f>VLOOKUP(F13,$U$2:$V$8,2,0)</f>
        <v>Completed</v>
      </c>
      <c r="H13" s="24">
        <v>4301000186</v>
      </c>
      <c r="I13" s="14">
        <v>180000333</v>
      </c>
      <c r="J13" s="4" t="s">
        <v>27</v>
      </c>
      <c r="K13" s="25" t="s">
        <v>20</v>
      </c>
      <c r="L13" s="2"/>
      <c r="M13" s="2"/>
      <c r="N13" s="2"/>
      <c r="O13" s="2"/>
      <c r="P13" s="2"/>
      <c r="Q13" s="2"/>
      <c r="R13" s="2"/>
    </row>
    <row r="14" spans="1:22" s="1" customFormat="1" ht="15.75" x14ac:dyDescent="0.25">
      <c r="A14" s="14">
        <v>1170000001</v>
      </c>
      <c r="B14" s="14">
        <v>600089</v>
      </c>
      <c r="C14" s="14">
        <v>1620</v>
      </c>
      <c r="D14" s="14" t="s">
        <v>13</v>
      </c>
      <c r="E14" s="14">
        <v>1970</v>
      </c>
      <c r="F14" s="23">
        <v>2</v>
      </c>
      <c r="G14" s="23" t="str">
        <f>VLOOKUP(F14,$U$2:$V$8,2,0)</f>
        <v>Completed</v>
      </c>
      <c r="H14" s="24">
        <v>4301000187</v>
      </c>
      <c r="I14" s="14">
        <v>180000334</v>
      </c>
      <c r="J14" s="4" t="s">
        <v>29</v>
      </c>
      <c r="K14" s="25"/>
      <c r="L14" s="2"/>
      <c r="M14" s="2"/>
      <c r="N14" s="2"/>
      <c r="O14" s="2"/>
      <c r="P14" s="2"/>
      <c r="Q14" s="2"/>
      <c r="R14" s="2"/>
    </row>
    <row r="15" spans="1:22" s="1" customFormat="1" ht="15.75" x14ac:dyDescent="0.25">
      <c r="A15" s="14">
        <v>1170000001</v>
      </c>
      <c r="B15" s="14">
        <v>600089</v>
      </c>
      <c r="C15" s="14">
        <v>1620</v>
      </c>
      <c r="D15" s="14" t="s">
        <v>13</v>
      </c>
      <c r="E15" s="14">
        <v>1970</v>
      </c>
      <c r="F15" s="23">
        <v>2</v>
      </c>
      <c r="G15" s="23" t="str">
        <f>VLOOKUP(F15,$U$2:$V$8,2,0)</f>
        <v>Completed</v>
      </c>
      <c r="H15" s="15">
        <v>4301000188</v>
      </c>
      <c r="I15" s="14">
        <v>180000335</v>
      </c>
      <c r="J15" s="4" t="s">
        <v>33</v>
      </c>
      <c r="K15" s="25"/>
      <c r="L15" s="2"/>
      <c r="M15" s="2"/>
      <c r="N15" s="2"/>
      <c r="O15" s="2"/>
      <c r="P15" s="2"/>
      <c r="Q15" s="2"/>
      <c r="R15" s="2"/>
    </row>
    <row r="16" spans="1:22" s="1" customFormat="1" ht="15.75" x14ac:dyDescent="0.25">
      <c r="A16" s="14">
        <v>1170000001</v>
      </c>
      <c r="B16" s="14">
        <v>600089</v>
      </c>
      <c r="C16" s="14">
        <v>1620</v>
      </c>
      <c r="D16" s="14" t="s">
        <v>13</v>
      </c>
      <c r="E16" s="14">
        <v>1970</v>
      </c>
      <c r="F16" s="23">
        <v>2</v>
      </c>
      <c r="G16" s="23" t="str">
        <f t="shared" ref="G16:G25" si="0">VLOOKUP(F16,$U$2:$V$8,2,0)</f>
        <v>Completed</v>
      </c>
      <c r="H16" s="15">
        <v>4301000189</v>
      </c>
      <c r="I16" s="14">
        <v>180000336</v>
      </c>
      <c r="J16" s="4" t="s">
        <v>35</v>
      </c>
      <c r="K16" s="25" t="s">
        <v>25</v>
      </c>
      <c r="L16" s="2"/>
      <c r="M16" s="2"/>
      <c r="N16" s="2"/>
      <c r="O16" s="2"/>
      <c r="P16" s="2"/>
      <c r="Q16" s="2"/>
      <c r="R16" s="2"/>
    </row>
    <row r="17" spans="1:18" s="1" customFormat="1" ht="15.75" x14ac:dyDescent="0.25">
      <c r="A17" s="14">
        <v>1170000001</v>
      </c>
      <c r="B17" s="14">
        <v>600089</v>
      </c>
      <c r="C17" s="14">
        <v>1620</v>
      </c>
      <c r="D17" s="14" t="s">
        <v>13</v>
      </c>
      <c r="E17" s="14">
        <v>1970</v>
      </c>
      <c r="F17" s="23">
        <v>2</v>
      </c>
      <c r="G17" s="23" t="str">
        <f t="shared" si="0"/>
        <v>Completed</v>
      </c>
      <c r="H17" s="15">
        <v>4301000190</v>
      </c>
      <c r="I17" s="14">
        <v>180000337</v>
      </c>
      <c r="J17" s="4" t="s">
        <v>36</v>
      </c>
      <c r="K17" s="25"/>
      <c r="L17" s="2"/>
      <c r="M17" s="2"/>
      <c r="N17" s="2"/>
      <c r="O17" s="2"/>
      <c r="P17" s="2"/>
      <c r="Q17" s="2"/>
      <c r="R17" s="2"/>
    </row>
    <row r="18" spans="1:18" s="1" customFormat="1" ht="15.75" x14ac:dyDescent="0.25">
      <c r="A18" s="14">
        <v>1170000001</v>
      </c>
      <c r="B18" s="14">
        <v>600089</v>
      </c>
      <c r="C18" s="14">
        <v>1620</v>
      </c>
      <c r="D18" s="14" t="s">
        <v>13</v>
      </c>
      <c r="E18" s="14">
        <v>1970</v>
      </c>
      <c r="F18" s="23">
        <v>2</v>
      </c>
      <c r="G18" s="23" t="str">
        <f t="shared" si="0"/>
        <v>Completed</v>
      </c>
      <c r="H18" s="15">
        <v>4301000191</v>
      </c>
      <c r="I18" s="14">
        <v>180000338</v>
      </c>
      <c r="J18" s="4" t="s">
        <v>37</v>
      </c>
      <c r="K18" s="25"/>
      <c r="L18" s="2"/>
      <c r="M18" s="2"/>
      <c r="N18" s="2"/>
      <c r="O18" s="2"/>
      <c r="P18" s="2"/>
      <c r="Q18" s="2"/>
      <c r="R18" s="2"/>
    </row>
    <row r="19" spans="1:18" s="1" customFormat="1" ht="15.75" x14ac:dyDescent="0.25">
      <c r="A19" s="14">
        <v>1160000001</v>
      </c>
      <c r="B19" s="14">
        <v>500591</v>
      </c>
      <c r="C19" s="14">
        <v>100</v>
      </c>
      <c r="D19" s="14" t="s">
        <v>41</v>
      </c>
      <c r="E19" s="14">
        <v>1971</v>
      </c>
      <c r="F19" s="23">
        <v>0</v>
      </c>
      <c r="G19" s="23" t="str">
        <f t="shared" si="0"/>
        <v>Pending</v>
      </c>
      <c r="H19" s="15">
        <v>4301000211</v>
      </c>
      <c r="I19" s="14">
        <v>180000361</v>
      </c>
      <c r="J19" s="4" t="s">
        <v>48</v>
      </c>
      <c r="K19" s="25"/>
      <c r="L19" s="2"/>
      <c r="M19" s="2"/>
      <c r="N19" s="2"/>
      <c r="O19" s="2"/>
      <c r="P19" s="2"/>
      <c r="Q19" s="2"/>
      <c r="R19" s="2"/>
    </row>
    <row r="20" spans="1:18" s="1" customFormat="1" ht="15.75" x14ac:dyDescent="0.25">
      <c r="A20" s="14">
        <v>1160000001</v>
      </c>
      <c r="B20" s="14">
        <v>500612</v>
      </c>
      <c r="C20" s="14">
        <v>100</v>
      </c>
      <c r="D20" s="14" t="s">
        <v>41</v>
      </c>
      <c r="E20" s="14">
        <v>1971</v>
      </c>
      <c r="F20" s="23">
        <v>0</v>
      </c>
      <c r="G20" s="23" t="str">
        <f t="shared" si="0"/>
        <v>Pending</v>
      </c>
      <c r="H20" s="15">
        <v>4301000205</v>
      </c>
      <c r="I20" s="14">
        <v>180000355</v>
      </c>
      <c r="J20" s="4" t="s">
        <v>42</v>
      </c>
      <c r="K20" s="25"/>
      <c r="L20" s="2"/>
      <c r="M20" s="2"/>
      <c r="N20" s="2"/>
      <c r="O20" s="2"/>
      <c r="P20" s="2"/>
      <c r="Q20" s="2"/>
      <c r="R20" s="2"/>
    </row>
    <row r="21" spans="1:18" s="1" customFormat="1" ht="15.75" x14ac:dyDescent="0.25">
      <c r="A21" s="14">
        <v>1160000001</v>
      </c>
      <c r="B21" s="14">
        <v>500618</v>
      </c>
      <c r="C21" s="14">
        <v>100</v>
      </c>
      <c r="D21" s="14" t="s">
        <v>41</v>
      </c>
      <c r="E21" s="14">
        <v>1971</v>
      </c>
      <c r="F21" s="23">
        <v>0</v>
      </c>
      <c r="G21" s="23" t="str">
        <f t="shared" si="0"/>
        <v>Pending</v>
      </c>
      <c r="H21" s="15">
        <v>4301000206</v>
      </c>
      <c r="I21" s="14">
        <v>180000356</v>
      </c>
      <c r="J21" s="4" t="s">
        <v>43</v>
      </c>
      <c r="K21" s="25"/>
      <c r="L21" s="2"/>
      <c r="M21" s="2"/>
      <c r="N21" s="2"/>
      <c r="O21" s="2"/>
      <c r="P21" s="2"/>
      <c r="Q21" s="2"/>
      <c r="R21" s="2"/>
    </row>
    <row r="22" spans="1:18" s="1" customFormat="1" ht="15.75" x14ac:dyDescent="0.25">
      <c r="A22" s="14">
        <v>1160000001</v>
      </c>
      <c r="B22" s="14">
        <v>500621</v>
      </c>
      <c r="C22" s="14">
        <v>100</v>
      </c>
      <c r="D22" s="14" t="s">
        <v>41</v>
      </c>
      <c r="E22" s="14">
        <v>1971</v>
      </c>
      <c r="F22" s="23">
        <v>0</v>
      </c>
      <c r="G22" s="23" t="str">
        <f t="shared" si="0"/>
        <v>Pending</v>
      </c>
      <c r="H22" s="15">
        <v>4301000207</v>
      </c>
      <c r="I22" s="14">
        <v>180000357</v>
      </c>
      <c r="J22" s="4" t="s">
        <v>44</v>
      </c>
      <c r="K22" s="25"/>
      <c r="L22" s="2"/>
      <c r="M22" s="2"/>
      <c r="N22" s="2"/>
      <c r="O22" s="2"/>
      <c r="P22" s="2"/>
      <c r="Q22" s="2"/>
      <c r="R22" s="2"/>
    </row>
    <row r="23" spans="1:18" s="1" customFormat="1" ht="15.75" x14ac:dyDescent="0.25">
      <c r="A23" s="14">
        <v>1160000001</v>
      </c>
      <c r="B23" s="14">
        <v>500623</v>
      </c>
      <c r="C23" s="14">
        <v>100</v>
      </c>
      <c r="D23" s="14" t="s">
        <v>41</v>
      </c>
      <c r="E23" s="14">
        <v>1971</v>
      </c>
      <c r="F23" s="23">
        <v>0</v>
      </c>
      <c r="G23" s="23" t="str">
        <f t="shared" si="0"/>
        <v>Pending</v>
      </c>
      <c r="H23" s="15">
        <v>4301000208</v>
      </c>
      <c r="I23" s="14">
        <v>180000358</v>
      </c>
      <c r="J23" s="4" t="s">
        <v>45</v>
      </c>
      <c r="K23" s="25"/>
      <c r="L23" s="2"/>
      <c r="M23" s="2"/>
      <c r="N23" s="2"/>
      <c r="O23" s="2"/>
      <c r="P23" s="2"/>
      <c r="Q23" s="2"/>
      <c r="R23" s="2"/>
    </row>
    <row r="24" spans="1:18" s="1" customFormat="1" ht="15.75" x14ac:dyDescent="0.25">
      <c r="A24" s="14">
        <v>1160000001</v>
      </c>
      <c r="B24" s="14">
        <v>500915</v>
      </c>
      <c r="C24" s="14">
        <v>100</v>
      </c>
      <c r="D24" s="14" t="s">
        <v>41</v>
      </c>
      <c r="E24" s="14">
        <v>1971</v>
      </c>
      <c r="F24" s="23">
        <v>0</v>
      </c>
      <c r="G24" s="23" t="str">
        <f t="shared" si="0"/>
        <v>Pending</v>
      </c>
      <c r="H24" s="15">
        <v>4301000209</v>
      </c>
      <c r="I24" s="14">
        <v>180000359</v>
      </c>
      <c r="J24" s="4" t="s">
        <v>46</v>
      </c>
      <c r="K24" s="25"/>
      <c r="L24" s="2"/>
      <c r="M24" s="2"/>
      <c r="N24" s="2"/>
      <c r="O24" s="2"/>
      <c r="P24" s="2"/>
      <c r="Q24" s="2"/>
      <c r="R24" s="2"/>
    </row>
    <row r="25" spans="1:18" s="1" customFormat="1" ht="15.75" x14ac:dyDescent="0.25">
      <c r="A25" s="14">
        <v>1160000001</v>
      </c>
      <c r="B25" s="14">
        <v>500912</v>
      </c>
      <c r="C25" s="14">
        <v>100</v>
      </c>
      <c r="D25" s="14" t="s">
        <v>41</v>
      </c>
      <c r="E25" s="14">
        <v>1971</v>
      </c>
      <c r="F25" s="23">
        <v>0</v>
      </c>
      <c r="G25" s="23" t="str">
        <f t="shared" si="0"/>
        <v>Pending</v>
      </c>
      <c r="H25" s="15">
        <v>4301000210</v>
      </c>
      <c r="I25" s="14">
        <v>180000360</v>
      </c>
      <c r="J25" s="4" t="s">
        <v>47</v>
      </c>
      <c r="K25" s="25"/>
      <c r="L25" s="2"/>
      <c r="M25" s="2"/>
      <c r="N25" s="2"/>
      <c r="O25" s="2"/>
      <c r="P25" s="2"/>
      <c r="Q25" s="2"/>
      <c r="R25" s="2"/>
    </row>
    <row r="26" spans="1:18" s="1" customFormat="1" ht="15.75" x14ac:dyDescent="0.25">
      <c r="A26" s="14">
        <v>1160000001</v>
      </c>
      <c r="B26" s="14">
        <v>500591</v>
      </c>
      <c r="C26" s="14">
        <v>100</v>
      </c>
      <c r="D26" s="14" t="s">
        <v>41</v>
      </c>
      <c r="E26" s="14">
        <v>1971</v>
      </c>
      <c r="F26" s="23">
        <v>2</v>
      </c>
      <c r="G26" s="23" t="str">
        <f t="shared" ref="G26:G27" si="1">VLOOKUP(F26,$U$2:$V$8,2,0)</f>
        <v>Completed</v>
      </c>
      <c r="H26" s="15">
        <v>4301000212</v>
      </c>
      <c r="I26" s="14">
        <v>180000362</v>
      </c>
      <c r="J26" s="4" t="s">
        <v>49</v>
      </c>
      <c r="K26" s="25"/>
      <c r="L26" s="2"/>
      <c r="M26" s="2"/>
      <c r="N26" s="2"/>
      <c r="O26" s="2"/>
      <c r="P26" s="2"/>
      <c r="Q26" s="2"/>
      <c r="R26" s="2"/>
    </row>
    <row r="27" spans="1:18" s="1" customFormat="1" ht="15.75" x14ac:dyDescent="0.25">
      <c r="A27" s="14">
        <v>1160000001</v>
      </c>
      <c r="B27" s="14" t="s">
        <v>51</v>
      </c>
      <c r="C27" s="14">
        <v>1000</v>
      </c>
      <c r="D27" s="14" t="s">
        <v>13</v>
      </c>
      <c r="E27" s="14">
        <v>1971</v>
      </c>
      <c r="F27" s="23">
        <v>2</v>
      </c>
      <c r="G27" s="23" t="str">
        <f t="shared" si="1"/>
        <v>Completed</v>
      </c>
      <c r="H27" s="15">
        <v>4301000218</v>
      </c>
      <c r="I27" s="14">
        <v>180000367</v>
      </c>
      <c r="J27" s="4" t="s">
        <v>52</v>
      </c>
      <c r="K27" s="25"/>
      <c r="L27" s="2"/>
      <c r="M27" s="2"/>
      <c r="N27" s="2"/>
      <c r="O27" s="2"/>
      <c r="P27" s="2"/>
      <c r="Q27" s="2"/>
      <c r="R27" s="2"/>
    </row>
    <row r="28" spans="1:18" s="1" customFormat="1" ht="15.75" x14ac:dyDescent="0.25">
      <c r="A28" s="14"/>
      <c r="B28" s="14"/>
      <c r="C28" s="14"/>
      <c r="D28" s="14"/>
      <c r="E28" s="14"/>
      <c r="F28" s="23"/>
      <c r="G28" s="23"/>
      <c r="H28" s="15"/>
      <c r="I28" s="14"/>
      <c r="J28" s="4" t="s">
        <v>15</v>
      </c>
      <c r="K28" s="25"/>
      <c r="L28" s="2"/>
      <c r="M28" s="2"/>
      <c r="N28" s="2"/>
      <c r="O28" s="2"/>
      <c r="P28" s="2"/>
      <c r="Q28" s="2"/>
      <c r="R28" s="2"/>
    </row>
    <row r="29" spans="1:18" s="1" customFormat="1" ht="15.75" x14ac:dyDescent="0.25">
      <c r="A29" s="14"/>
      <c r="B29" s="14"/>
      <c r="C29" s="14"/>
      <c r="D29" s="14"/>
      <c r="E29" s="14"/>
      <c r="F29" s="23"/>
      <c r="G29" s="23"/>
      <c r="H29" s="15"/>
      <c r="I29" s="14"/>
      <c r="J29" s="4" t="s">
        <v>16</v>
      </c>
      <c r="K29" s="25"/>
      <c r="L29" s="2"/>
      <c r="M29" s="2"/>
      <c r="N29" s="2"/>
      <c r="O29" s="2"/>
      <c r="P29" s="2"/>
      <c r="Q29" s="2"/>
      <c r="R29" s="2"/>
    </row>
    <row r="30" spans="1:18" s="1" customFormat="1" ht="15.75" x14ac:dyDescent="0.25">
      <c r="A30" s="14"/>
      <c r="B30" s="14"/>
      <c r="C30" s="14"/>
      <c r="D30" s="14"/>
      <c r="E30" s="14"/>
      <c r="F30" s="23"/>
      <c r="G30" s="23"/>
      <c r="H30" s="15"/>
      <c r="I30" s="14"/>
      <c r="J30" s="4" t="s">
        <v>17</v>
      </c>
      <c r="K30" s="25"/>
      <c r="L30" s="2"/>
      <c r="M30" s="2"/>
      <c r="N30" s="2"/>
      <c r="O30" s="2"/>
      <c r="P30" s="2"/>
      <c r="Q30" s="2"/>
      <c r="R30" s="2"/>
    </row>
    <row r="31" spans="1:18" s="1" customFormat="1" ht="15.75" x14ac:dyDescent="0.25">
      <c r="A31" s="14"/>
      <c r="B31" s="14"/>
      <c r="C31" s="14"/>
      <c r="D31" s="14"/>
      <c r="E31" s="14"/>
      <c r="F31" s="23"/>
      <c r="G31" s="23"/>
      <c r="H31" s="15"/>
      <c r="I31" s="14"/>
      <c r="J31" s="4" t="s">
        <v>18</v>
      </c>
      <c r="K31" s="25"/>
      <c r="L31" s="2"/>
      <c r="M31" s="2"/>
      <c r="N31" s="2"/>
      <c r="O31" s="2"/>
      <c r="P31" s="2"/>
      <c r="Q31" s="2"/>
      <c r="R31" s="2"/>
    </row>
    <row r="32" spans="1:18" s="1" customFormat="1" ht="15.75" x14ac:dyDescent="0.25">
      <c r="A32" s="14"/>
      <c r="B32" s="14"/>
      <c r="C32" s="14"/>
      <c r="D32" s="14"/>
      <c r="E32" s="14"/>
      <c r="F32" s="23"/>
      <c r="G32" s="23"/>
      <c r="H32" s="15"/>
      <c r="I32" s="14"/>
      <c r="J32" s="4" t="s">
        <v>21</v>
      </c>
      <c r="K32" s="25"/>
      <c r="L32" s="2"/>
      <c r="M32" s="2"/>
      <c r="N32" s="2"/>
      <c r="O32" s="2"/>
      <c r="P32" s="2"/>
      <c r="Q32" s="2"/>
      <c r="R32" s="2"/>
    </row>
    <row r="33" spans="1:18" s="1" customFormat="1" ht="15.75" x14ac:dyDescent="0.25">
      <c r="A33" s="14"/>
      <c r="B33" s="14"/>
      <c r="C33" s="14"/>
      <c r="D33" s="14"/>
      <c r="E33" s="14"/>
      <c r="F33" s="23"/>
      <c r="G33" s="23"/>
      <c r="H33" s="15"/>
      <c r="I33" s="14"/>
      <c r="J33" s="4" t="s">
        <v>22</v>
      </c>
      <c r="K33" s="25"/>
      <c r="L33" s="2"/>
      <c r="M33" s="2"/>
      <c r="N33" s="2"/>
      <c r="O33" s="2"/>
      <c r="P33" s="2"/>
      <c r="Q33" s="2"/>
      <c r="R33" s="2"/>
    </row>
    <row r="34" spans="1:18" s="1" customFormat="1" ht="15.75" x14ac:dyDescent="0.25">
      <c r="A34" s="14"/>
      <c r="B34" s="14"/>
      <c r="C34" s="14"/>
      <c r="D34" s="14"/>
      <c r="E34" s="14"/>
      <c r="F34" s="23"/>
      <c r="G34" s="23"/>
      <c r="H34" s="15"/>
      <c r="I34" s="14"/>
      <c r="J34" s="4" t="s">
        <v>23</v>
      </c>
      <c r="K34" s="25"/>
      <c r="L34" s="2"/>
      <c r="M34" s="2"/>
      <c r="N34" s="2"/>
      <c r="O34" s="2"/>
      <c r="P34" s="2"/>
      <c r="Q34" s="2"/>
      <c r="R34" s="2"/>
    </row>
    <row r="35" spans="1:18" ht="15.75" x14ac:dyDescent="0.25">
      <c r="K35" s="19"/>
    </row>
    <row r="36" spans="1:18" ht="15.75" x14ac:dyDescent="0.25">
      <c r="K36" s="19"/>
    </row>
  </sheetData>
  <mergeCells count="2">
    <mergeCell ref="A1:G2"/>
    <mergeCell ref="C8:D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artProcessing">
                <anchor moveWithCells="1" sizeWithCells="1">
                  <from>
                    <xdr:col>1</xdr:col>
                    <xdr:colOff>285750</xdr:colOff>
                    <xdr:row>7</xdr:row>
                    <xdr:rowOff>28575</xdr:rowOff>
                  </from>
                  <to>
                    <xdr:col>1</xdr:col>
                    <xdr:colOff>2981325</xdr:colOff>
                    <xdr:row>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Saif Ahmed Chowdhury</dc:creator>
  <cp:lastModifiedBy>Saif Ahmed Chowdhury</cp:lastModifiedBy>
  <dcterms:created xsi:type="dcterms:W3CDTF">2020-10-25T14:12:03Z</dcterms:created>
  <dcterms:modified xsi:type="dcterms:W3CDTF">2020-12-13T11:08:28Z</dcterms:modified>
</cp:coreProperties>
</file>